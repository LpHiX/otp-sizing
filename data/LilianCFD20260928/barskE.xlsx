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LilianChabannes\Desktop\misc\barske_cavitation\"/>
    </mc:Choice>
  </mc:AlternateContent>
  <xr:revisionPtr revIDLastSave="0" documentId="13_ncr:1_{A99F2135-19A7-4DC9-BB36-07DCC2E3B26A}" xr6:coauthVersionLast="47" xr6:coauthVersionMax="47" xr10:uidLastSave="{00000000-0000-0000-0000-000000000000}"/>
  <bookViews>
    <workbookView xWindow="-108" yWindow="-108" windowWidth="30936" windowHeight="15576"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9" i="1" l="1"/>
  <c r="AC38" i="1"/>
  <c r="AC36" i="1"/>
  <c r="AC37" i="1" s="1"/>
  <c r="AB39" i="1"/>
  <c r="AB38" i="1"/>
  <c r="AB36" i="1"/>
  <c r="AB37" i="1" s="1"/>
  <c r="AA39" i="1"/>
  <c r="AA38" i="1"/>
  <c r="AA36" i="1"/>
  <c r="AA37" i="1" s="1"/>
  <c r="K39" i="1"/>
  <c r="L39" i="1"/>
  <c r="M39" i="1"/>
  <c r="N39" i="1"/>
  <c r="O39" i="1"/>
  <c r="P39" i="1"/>
  <c r="Q39" i="1"/>
  <c r="R39" i="1"/>
  <c r="S39" i="1"/>
  <c r="T39" i="1"/>
  <c r="U39" i="1"/>
  <c r="V39" i="1"/>
  <c r="W39" i="1"/>
  <c r="X39" i="1"/>
  <c r="Y39" i="1"/>
  <c r="Z39" i="1"/>
  <c r="J39" i="1"/>
  <c r="Z38" i="1"/>
  <c r="Z36" i="1"/>
  <c r="Z37" i="1" s="1"/>
  <c r="E27" i="1"/>
  <c r="E28" i="1"/>
  <c r="E29" i="1"/>
  <c r="Y38" i="1"/>
  <c r="Y36" i="1"/>
  <c r="X38" i="1"/>
  <c r="X36" i="1"/>
  <c r="W38" i="1"/>
  <c r="W36" i="1"/>
  <c r="V38" i="1"/>
  <c r="V36" i="1"/>
  <c r="U38" i="1"/>
  <c r="U36" i="1"/>
  <c r="U37" i="1" s="1"/>
  <c r="T38" i="1"/>
  <c r="T36" i="1"/>
  <c r="T37" i="1" s="1"/>
  <c r="S38" i="1"/>
  <c r="S36" i="1"/>
  <c r="R38" i="1"/>
  <c r="K36" i="1"/>
  <c r="K37" i="1" s="1"/>
  <c r="L36" i="1"/>
  <c r="L37" i="1" s="1"/>
  <c r="M36" i="1"/>
  <c r="M37" i="1" s="1"/>
  <c r="N36" i="1"/>
  <c r="N37" i="1" s="1"/>
  <c r="O36" i="1"/>
  <c r="O37" i="1" s="1"/>
  <c r="P36" i="1"/>
  <c r="P37" i="1" s="1"/>
  <c r="Q36" i="1"/>
  <c r="R36" i="1"/>
  <c r="R37" i="1" s="1"/>
  <c r="J36" i="1"/>
  <c r="K38" i="1"/>
  <c r="L38" i="1"/>
  <c r="M38" i="1"/>
  <c r="N38" i="1"/>
  <c r="O38" i="1"/>
  <c r="P38" i="1"/>
  <c r="Q38" i="1"/>
  <c r="C12" i="1"/>
  <c r="J38" i="1"/>
  <c r="D27" i="1"/>
  <c r="D28" i="1"/>
  <c r="D29" i="1"/>
  <c r="D30" i="1"/>
  <c r="D26" i="1"/>
  <c r="B27" i="1"/>
  <c r="B28" i="1"/>
  <c r="B29" i="1"/>
  <c r="B30" i="1"/>
  <c r="E30" i="1" s="1"/>
  <c r="B26" i="1"/>
  <c r="E26" i="1" s="1"/>
  <c r="C9" i="1"/>
  <c r="C7" i="1"/>
  <c r="C8" i="1" s="1"/>
  <c r="C10" i="1" l="1"/>
  <c r="C11" i="1" s="1"/>
  <c r="C13" i="1" s="1"/>
  <c r="V37" i="1"/>
  <c r="W37" i="1"/>
  <c r="Y37" i="1"/>
  <c r="X37" i="1"/>
  <c r="J37" i="1"/>
  <c r="Q37" i="1"/>
  <c r="S37" i="1"/>
</calcChain>
</file>

<file path=xl/sharedStrings.xml><?xml version="1.0" encoding="utf-8"?>
<sst xmlns="http://schemas.openxmlformats.org/spreadsheetml/2006/main" count="109" uniqueCount="81">
  <si>
    <t>eta</t>
  </si>
  <si>
    <t>run_01</t>
  </si>
  <si>
    <t>target</t>
  </si>
  <si>
    <t>dp</t>
  </si>
  <si>
    <t>bar</t>
  </si>
  <si>
    <t>mdot</t>
  </si>
  <si>
    <t>kg/s</t>
  </si>
  <si>
    <t>N</t>
  </si>
  <si>
    <t>RPM</t>
  </si>
  <si>
    <t>rho</t>
  </si>
  <si>
    <t>kg/3</t>
  </si>
  <si>
    <t>p_hyd</t>
  </si>
  <si>
    <t>Qv</t>
  </si>
  <si>
    <t>m3/s</t>
  </si>
  <si>
    <t>W</t>
  </si>
  <si>
    <t>H</t>
  </si>
  <si>
    <t>m</t>
  </si>
  <si>
    <t>nq</t>
  </si>
  <si>
    <t>run_02</t>
  </si>
  <si>
    <t>-</t>
  </si>
  <si>
    <t>dp (bar)</t>
  </si>
  <si>
    <t>Pshaft (kW)</t>
  </si>
  <si>
    <t>mdot (kg/s)</t>
  </si>
  <si>
    <t>Elias' CFD 24 kRPM</t>
  </si>
  <si>
    <t>Elias' CFD 33 kRPM scaled</t>
  </si>
  <si>
    <t>run_03</t>
  </si>
  <si>
    <t>run_04</t>
  </si>
  <si>
    <t>run_05</t>
  </si>
  <si>
    <t>reducing pressure piece by piece by running a few timestep until 6 bar.The residual of phase-2 was non zero, so it started to cavitate somewhere.</t>
  </si>
  <si>
    <t>pvap</t>
  </si>
  <si>
    <t>NPSPr_normal</t>
  </si>
  <si>
    <t>run_06</t>
  </si>
  <si>
    <t>5 bar inlet</t>
  </si>
  <si>
    <t>run_07</t>
  </si>
  <si>
    <t>4 bar inlet</t>
  </si>
  <si>
    <t>run_08</t>
  </si>
  <si>
    <t>3 bar inlet</t>
  </si>
  <si>
    <t>run_09</t>
  </si>
  <si>
    <t>2 bar inlet</t>
  </si>
  <si>
    <t>p_in (bar)</t>
  </si>
  <si>
    <t>npspa (bar)</t>
  </si>
  <si>
    <t>p_in_r_expected</t>
  </si>
  <si>
    <t>run_10</t>
  </si>
  <si>
    <t>1.5 bar inlet</t>
  </si>
  <si>
    <t>run_11</t>
  </si>
  <si>
    <t>run_12</t>
  </si>
  <si>
    <t>1.0 bar inlet, transient sim 1deg/timestep, because at this point I lose trust in the sim. Stopped before convergence cause wanted to check the results</t>
  </si>
  <si>
    <t>run_13</t>
  </si>
  <si>
    <t>run_14</t>
  </si>
  <si>
    <t>Q-H curve, back to single phase - 1.5 kg/s</t>
  </si>
  <si>
    <t>run_15</t>
  </si>
  <si>
    <t>Q-H curve, back to single phase - 2.0 kg/s</t>
  </si>
  <si>
    <t>run_16</t>
  </si>
  <si>
    <t>Q-H curve, back to single phase - 2.5 kg/s</t>
  </si>
  <si>
    <t>first trial at 0.99 kg/s (typo, meant 0.90), first order numerics, single phase. Resuls kinda matching Elias', OK.</t>
  </si>
  <si>
    <t>same with second order numerics. Results are OK in valuebut too oscillatory. Needs transient sim to be more accurate. Nvm, back to first order as we just want quick results here.</t>
  </si>
  <si>
    <t>0.9 kg/s, 2 phase, 50 bar inlet cause was fighting with Fluent and it was the only way not to get gas inside at t0. The 50 bar inlet "pushed" the gas out, until the pump was fully liquid.</t>
  </si>
  <si>
    <t>20 bar inlet, we slowly reduce inlet pressure.</t>
  </si>
  <si>
    <t>1.0 bar inlet - why the fuck isn't it breaking down hard.</t>
  </si>
  <si>
    <t>1.0 bar inlet, transient sim 3deg/timestep, continuation of run_12. Mass flow oscillates, shaft power increased</t>
  </si>
  <si>
    <t>run_17</t>
  </si>
  <si>
    <t>run_18</t>
  </si>
  <si>
    <t>pshaft (kW)</t>
  </si>
  <si>
    <t>Q-H curve, back to single phase - 3.0 kg/s</t>
  </si>
  <si>
    <t>last run, repeat of run_01 transient to see the difference between std and trn</t>
  </si>
  <si>
    <t>bar, 0.00122 nq^(4/3) dp</t>
  </si>
  <si>
    <t>run_19</t>
  </si>
  <si>
    <t>run_20</t>
  </si>
  <si>
    <t>mdotin (kg/s)</t>
  </si>
  <si>
    <t>mdotout (kg/s)</t>
  </si>
  <si>
    <t>ptin (Pa)</t>
  </si>
  <si>
    <t>dptot (Pa)</t>
  </si>
  <si>
    <t>torque (Nm)</t>
  </si>
  <si>
    <t>pHyd (W)</t>
  </si>
  <si>
    <t>pShaft (W)</t>
  </si>
  <si>
    <t>eta (-)</t>
  </si>
  <si>
    <t>run_xx</t>
  </si>
  <si>
    <t>single phase</t>
  </si>
  <si>
    <t>two phase</t>
  </si>
  <si>
    <t>ok, we go the transient with 2deg/timestep at 2.0 bar - why 60 bar only, we don't cavitate - scrap</t>
  </si>
  <si>
    <t>we go again overnight with same som at run_19 with 5.0 bar. Both run overnight and stop - why 60 bar only, we don't cavitate - scrap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</si>
</sst>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rgb="FF9C0006"/>
      <name val="Calibri"/>
      <family val="2"/>
      <scheme val="minor"/>
    </font>
    <font>
      <sz val="11"/>
      <color rgb="FF3F3F76"/>
      <name val="Calibri"/>
      <family val="2"/>
      <scheme val="minor"/>
    </font>
    <font>
      <b/>
      <sz val="11"/>
      <color rgb="FFFA7D00"/>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rgb="FFFFC7CE"/>
      </patternFill>
    </fill>
    <fill>
      <patternFill patternType="solid">
        <fgColor rgb="FFFFCC99"/>
      </patternFill>
    </fill>
    <fill>
      <patternFill patternType="solid">
        <fgColor rgb="FFF2F2F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2" fillId="3" borderId="1" applyNumberFormat="0" applyAlignment="0" applyProtection="0"/>
    <xf numFmtId="0" fontId="3" fillId="4" borderId="1" applyNumberFormat="0" applyAlignment="0" applyProtection="0"/>
  </cellStyleXfs>
  <cellXfs count="21">
    <xf numFmtId="0" fontId="0" fillId="0" borderId="0" xfId="0"/>
    <xf numFmtId="0" fontId="0" fillId="0" borderId="0" xfId="0" applyAlignment="1">
      <alignment horizontal="center"/>
    </xf>
    <xf numFmtId="0" fontId="2" fillId="3" borderId="1" xfId="2" applyAlignment="1">
      <alignment horizontal="center"/>
    </xf>
    <xf numFmtId="0" fontId="0" fillId="0" borderId="0" xfId="0" applyAlignment="1">
      <alignment horizontal="right"/>
    </xf>
    <xf numFmtId="0" fontId="4" fillId="0" borderId="0" xfId="0" applyFont="1" applyAlignment="1">
      <alignment horizontal="center"/>
    </xf>
    <xf numFmtId="2" fontId="3" fillId="4" borderId="1" xfId="3" applyNumberFormat="1" applyAlignment="1">
      <alignment horizontal="center"/>
    </xf>
    <xf numFmtId="0" fontId="0" fillId="0" borderId="2" xfId="0" applyBorder="1"/>
    <xf numFmtId="164" fontId="0" fillId="0" borderId="2" xfId="0" applyNumberFormat="1" applyBorder="1" applyAlignment="1">
      <alignment horizontal="center"/>
    </xf>
    <xf numFmtId="0" fontId="0" fillId="0" borderId="2" xfId="0" applyBorder="1" applyAlignment="1">
      <alignment horizontal="right"/>
    </xf>
    <xf numFmtId="0" fontId="2" fillId="3" borderId="2" xfId="2" applyBorder="1" applyAlignment="1">
      <alignment horizontal="center"/>
    </xf>
    <xf numFmtId="0" fontId="3" fillId="4" borderId="2" xfId="3" applyBorder="1" applyAlignment="1">
      <alignment horizontal="center"/>
    </xf>
    <xf numFmtId="1" fontId="3" fillId="4" borderId="2" xfId="3" applyNumberFormat="1" applyBorder="1" applyAlignment="1">
      <alignment horizontal="center"/>
    </xf>
    <xf numFmtId="2" fontId="3" fillId="4" borderId="2" xfId="3" applyNumberFormat="1" applyBorder="1" applyAlignment="1">
      <alignment horizontal="center"/>
    </xf>
    <xf numFmtId="0" fontId="4" fillId="0" borderId="2" xfId="0" applyFont="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0" fillId="5" borderId="2" xfId="0" applyFill="1" applyBorder="1" applyAlignment="1">
      <alignment horizontal="center"/>
    </xf>
    <xf numFmtId="2" fontId="0" fillId="0" borderId="2" xfId="0" applyNumberFormat="1" applyBorder="1" applyAlignment="1">
      <alignment horizontal="center"/>
    </xf>
    <xf numFmtId="2" fontId="1" fillId="2" borderId="2" xfId="1" applyNumberFormat="1" applyBorder="1" applyAlignment="1">
      <alignment horizontal="center"/>
    </xf>
    <xf numFmtId="11" fontId="0" fillId="0" borderId="2" xfId="0" applyNumberFormat="1" applyBorder="1" applyAlignment="1">
      <alignment horizontal="center"/>
    </xf>
    <xf numFmtId="0" fontId="0" fillId="0" borderId="2" xfId="0" applyNumberFormat="1" applyBorder="1" applyAlignment="1">
      <alignment horizontal="center"/>
    </xf>
  </cellXfs>
  <cellStyles count="4">
    <cellStyle name="Bad" xfId="1" builtinId="27"/>
    <cellStyle name="Calculation" xfId="3" builtinId="22"/>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Elias's CFD - scaled 33kRPM</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Tabelle1!$B$26:$B$30</c:f>
              <c:numCache>
                <c:formatCode>General</c:formatCode>
                <c:ptCount val="5"/>
                <c:pt idx="0">
                  <c:v>0.13750000000000001</c:v>
                </c:pt>
                <c:pt idx="1">
                  <c:v>0.6875</c:v>
                </c:pt>
                <c:pt idx="2">
                  <c:v>1.375</c:v>
                </c:pt>
                <c:pt idx="3">
                  <c:v>2.75</c:v>
                </c:pt>
                <c:pt idx="4">
                  <c:v>4.125</c:v>
                </c:pt>
              </c:numCache>
            </c:numRef>
          </c:xVal>
          <c:yVal>
            <c:numRef>
              <c:f>Tabelle1!$D$26:$D$30</c:f>
              <c:numCache>
                <c:formatCode>General</c:formatCode>
                <c:ptCount val="5"/>
                <c:pt idx="0">
                  <c:v>69.0078125</c:v>
                </c:pt>
                <c:pt idx="1">
                  <c:v>73.734375</c:v>
                </c:pt>
                <c:pt idx="2">
                  <c:v>80.3515625</c:v>
                </c:pt>
                <c:pt idx="3">
                  <c:v>78.4609375</c:v>
                </c:pt>
                <c:pt idx="4">
                  <c:v>36.8671875</c:v>
                </c:pt>
              </c:numCache>
            </c:numRef>
          </c:yVal>
          <c:smooth val="0"/>
          <c:extLst>
            <c:ext xmlns:c16="http://schemas.microsoft.com/office/drawing/2014/chart" uri="{C3380CC4-5D6E-409C-BE32-E72D297353CC}">
              <c16:uniqueId val="{00000000-AA36-4E23-B5B1-871FDEC6F546}"/>
            </c:ext>
          </c:extLst>
        </c:ser>
        <c:ser>
          <c:idx val="1"/>
          <c:order val="1"/>
          <c:tx>
            <c:v>Operating Point Target 0.9 kg/s 60 bar</c:v>
          </c:tx>
          <c:spPr>
            <a:ln w="19050" cap="rnd">
              <a:noFill/>
              <a:round/>
            </a:ln>
            <a:effectLst/>
          </c:spPr>
          <c:marker>
            <c:symbol val="circle"/>
            <c:size val="5"/>
            <c:spPr>
              <a:solidFill>
                <a:srgbClr val="FF0000"/>
              </a:solidFill>
              <a:ln w="9525">
                <a:noFill/>
              </a:ln>
              <a:effectLst/>
            </c:spPr>
          </c:marker>
          <c:xVal>
            <c:numRef>
              <c:f>Tabelle1!$C$4</c:f>
              <c:numCache>
                <c:formatCode>General</c:formatCode>
                <c:ptCount val="1"/>
                <c:pt idx="0">
                  <c:v>0.9</c:v>
                </c:pt>
              </c:numCache>
            </c:numRef>
          </c:xVal>
          <c:yVal>
            <c:numRef>
              <c:f>Tabelle1!$C$3</c:f>
              <c:numCache>
                <c:formatCode>General</c:formatCode>
                <c:ptCount val="1"/>
                <c:pt idx="0">
                  <c:v>60</c:v>
                </c:pt>
              </c:numCache>
            </c:numRef>
          </c:yVal>
          <c:smooth val="0"/>
          <c:extLst>
            <c:ext xmlns:c16="http://schemas.microsoft.com/office/drawing/2014/chart" uri="{C3380CC4-5D6E-409C-BE32-E72D297353CC}">
              <c16:uniqueId val="{00000002-AA36-4E23-B5B1-871FDEC6F546}"/>
            </c:ext>
          </c:extLst>
        </c:ser>
        <c:ser>
          <c:idx val="2"/>
          <c:order val="2"/>
          <c:tx>
            <c:v>Current CFD</c:v>
          </c:tx>
          <c:spPr>
            <a:ln w="25400" cap="rnd">
              <a:solidFill>
                <a:srgbClr val="00B0F0"/>
              </a:solidFill>
              <a:round/>
            </a:ln>
            <a:effectLst/>
          </c:spPr>
          <c:marker>
            <c:symbol val="circle"/>
            <c:size val="5"/>
            <c:spPr>
              <a:solidFill>
                <a:srgbClr val="00B0F0"/>
              </a:solidFill>
              <a:ln w="9525">
                <a:solidFill>
                  <a:srgbClr val="00B0F0"/>
                </a:solidFill>
              </a:ln>
              <a:effectLst/>
            </c:spPr>
          </c:marker>
          <c:xVal>
            <c:numRef>
              <c:f>(Tabelle1!$J$27,Tabelle1!$W$27:$Z$27)</c:f>
              <c:numCache>
                <c:formatCode>0.00</c:formatCode>
                <c:ptCount val="5"/>
                <c:pt idx="0">
                  <c:v>0.98819999999999997</c:v>
                </c:pt>
                <c:pt idx="1">
                  <c:v>1.498</c:v>
                </c:pt>
                <c:pt idx="2">
                  <c:v>1.9970000000000001</c:v>
                </c:pt>
                <c:pt idx="3">
                  <c:v>2.4969999999999999</c:v>
                </c:pt>
                <c:pt idx="4">
                  <c:v>2.9969999999999999</c:v>
                </c:pt>
              </c:numCache>
            </c:numRef>
          </c:xVal>
          <c:yVal>
            <c:numRef>
              <c:f>(Tabelle1!$J$38,Tabelle1!$W$38:$Z$38)</c:f>
              <c:numCache>
                <c:formatCode>0.0</c:formatCode>
                <c:ptCount val="5"/>
                <c:pt idx="0">
                  <c:v>65.77</c:v>
                </c:pt>
                <c:pt idx="1">
                  <c:v>66.72</c:v>
                </c:pt>
                <c:pt idx="2">
                  <c:v>65.099999999999994</c:v>
                </c:pt>
                <c:pt idx="3">
                  <c:v>61.06</c:v>
                </c:pt>
                <c:pt idx="4">
                  <c:v>54.78</c:v>
                </c:pt>
              </c:numCache>
            </c:numRef>
          </c:yVal>
          <c:smooth val="0"/>
          <c:extLst>
            <c:ext xmlns:c16="http://schemas.microsoft.com/office/drawing/2014/chart" uri="{C3380CC4-5D6E-409C-BE32-E72D297353CC}">
              <c16:uniqueId val="{00000003-AA36-4E23-B5B1-871FDEC6F546}"/>
            </c:ext>
          </c:extLst>
        </c:ser>
        <c:ser>
          <c:idx val="3"/>
          <c:order val="3"/>
          <c:tx>
            <c:v>trn point run 18</c:v>
          </c:tx>
          <c:spPr>
            <a:ln w="19050" cap="rnd">
              <a:noFill/>
              <a:round/>
            </a:ln>
            <a:effectLst/>
          </c:spPr>
          <c:marker>
            <c:symbol val="circle"/>
            <c:size val="5"/>
            <c:spPr>
              <a:solidFill>
                <a:schemeClr val="tx1"/>
              </a:solidFill>
              <a:ln w="9525">
                <a:noFill/>
              </a:ln>
              <a:effectLst/>
            </c:spPr>
          </c:marker>
          <c:xVal>
            <c:numRef>
              <c:f>Tabelle1!$AA$27</c:f>
              <c:numCache>
                <c:formatCode>0.00</c:formatCode>
                <c:ptCount val="1"/>
                <c:pt idx="0">
                  <c:v>0.99</c:v>
                </c:pt>
              </c:numCache>
            </c:numRef>
          </c:xVal>
          <c:yVal>
            <c:numRef>
              <c:f>Tabelle1!$AA$38</c:f>
              <c:numCache>
                <c:formatCode>0.0</c:formatCode>
                <c:ptCount val="1"/>
                <c:pt idx="0">
                  <c:v>70.739999999999995</c:v>
                </c:pt>
              </c:numCache>
            </c:numRef>
          </c:yVal>
          <c:smooth val="0"/>
          <c:extLst>
            <c:ext xmlns:c16="http://schemas.microsoft.com/office/drawing/2014/chart" uri="{C3380CC4-5D6E-409C-BE32-E72D297353CC}">
              <c16:uniqueId val="{00000004-AA36-4E23-B5B1-871FDEC6F546}"/>
            </c:ext>
          </c:extLst>
        </c:ser>
        <c:dLbls>
          <c:showLegendKey val="0"/>
          <c:showVal val="0"/>
          <c:showCatName val="0"/>
          <c:showSerName val="0"/>
          <c:showPercent val="0"/>
          <c:showBubbleSize val="0"/>
        </c:dLbls>
        <c:axId val="639944688"/>
        <c:axId val="2126579023"/>
      </c:scatterChart>
      <c:valAx>
        <c:axId val="639944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mass flow rate (kg/s)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9023"/>
        <c:crosses val="autoZero"/>
        <c:crossBetween val="midCat"/>
      </c:valAx>
      <c:valAx>
        <c:axId val="212657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pressure rise (bar)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44688"/>
        <c:crosses val="autoZero"/>
        <c:crossBetween val="midCat"/>
      </c:valAx>
      <c:spPr>
        <a:noFill/>
        <a:ln>
          <a:noFill/>
        </a:ln>
        <a:effectLst/>
      </c:spPr>
    </c:plotArea>
    <c:legend>
      <c:legendPos val="r"/>
      <c:layout>
        <c:manualLayout>
          <c:xMode val="edge"/>
          <c:yMode val="edge"/>
          <c:x val="0.68470713035870512"/>
          <c:y val="0.47402554907912958"/>
          <c:w val="0.31529286964129483"/>
          <c:h val="0.5241710827496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steady-state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Tabelle1!$L$36:$T$36</c:f>
              <c:numCache>
                <c:formatCode>0.0</c:formatCode>
                <c:ptCount val="9"/>
                <c:pt idx="0">
                  <c:v>50</c:v>
                </c:pt>
                <c:pt idx="1">
                  <c:v>20</c:v>
                </c:pt>
                <c:pt idx="2">
                  <c:v>6</c:v>
                </c:pt>
                <c:pt idx="3">
                  <c:v>5</c:v>
                </c:pt>
                <c:pt idx="4">
                  <c:v>4</c:v>
                </c:pt>
                <c:pt idx="5">
                  <c:v>3</c:v>
                </c:pt>
                <c:pt idx="6">
                  <c:v>2</c:v>
                </c:pt>
                <c:pt idx="7">
                  <c:v>1.5</c:v>
                </c:pt>
                <c:pt idx="8">
                  <c:v>1</c:v>
                </c:pt>
              </c:numCache>
            </c:numRef>
          </c:xVal>
          <c:yVal>
            <c:numRef>
              <c:f>Tabelle1!$L$38:$T$38</c:f>
              <c:numCache>
                <c:formatCode>0.0</c:formatCode>
                <c:ptCount val="9"/>
                <c:pt idx="0">
                  <c:v>68.13</c:v>
                </c:pt>
                <c:pt idx="1">
                  <c:v>66.790000000000006</c:v>
                </c:pt>
                <c:pt idx="2">
                  <c:v>65.84</c:v>
                </c:pt>
                <c:pt idx="3">
                  <c:v>65.19</c:v>
                </c:pt>
                <c:pt idx="4">
                  <c:v>64.87</c:v>
                </c:pt>
                <c:pt idx="5">
                  <c:v>64.599999999999994</c:v>
                </c:pt>
                <c:pt idx="6">
                  <c:v>64.05</c:v>
                </c:pt>
                <c:pt idx="7">
                  <c:v>63.68</c:v>
                </c:pt>
                <c:pt idx="8">
                  <c:v>63.12</c:v>
                </c:pt>
              </c:numCache>
            </c:numRef>
          </c:yVal>
          <c:smooth val="0"/>
          <c:extLst>
            <c:ext xmlns:c16="http://schemas.microsoft.com/office/drawing/2014/chart" uri="{C3380CC4-5D6E-409C-BE32-E72D297353CC}">
              <c16:uniqueId val="{00000002-555F-4980-AB33-B0F349ED1EEB}"/>
            </c:ext>
          </c:extLst>
        </c:ser>
        <c:ser>
          <c:idx val="1"/>
          <c:order val="1"/>
          <c:tx>
            <c:v>-5%</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2"/>
              <c:pt idx="0">
                <c:v>0</c:v>
              </c:pt>
              <c:pt idx="1">
                <c:v>100</c:v>
              </c:pt>
            </c:numLit>
          </c:xVal>
          <c:yVal>
            <c:numLit>
              <c:formatCode>General</c:formatCode>
              <c:ptCount val="2"/>
              <c:pt idx="0">
                <c:v>63.5</c:v>
              </c:pt>
              <c:pt idx="1">
                <c:v>63.5</c:v>
              </c:pt>
            </c:numLit>
          </c:yVal>
          <c:smooth val="0"/>
          <c:extLst>
            <c:ext xmlns:c16="http://schemas.microsoft.com/office/drawing/2014/chart" uri="{C3380CC4-5D6E-409C-BE32-E72D297353CC}">
              <c16:uniqueId val="{00000003-555F-4980-AB33-B0F349ED1EEB}"/>
            </c:ext>
          </c:extLst>
        </c:ser>
        <c:ser>
          <c:idx val="2"/>
          <c:order val="2"/>
          <c:tx>
            <c:v>expected breakdown</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(Tabelle1!$C$13,Tabelle1!$C$13)</c:f>
              <c:numCache>
                <c:formatCode>0.00</c:formatCode>
                <c:ptCount val="2"/>
                <c:pt idx="0">
                  <c:v>1.1343455151918909</c:v>
                </c:pt>
                <c:pt idx="1">
                  <c:v>1.1343455151918909</c:v>
                </c:pt>
              </c:numCache>
            </c:numRef>
          </c:xVal>
          <c:yVal>
            <c:numLit>
              <c:formatCode>General</c:formatCode>
              <c:ptCount val="2"/>
              <c:pt idx="0">
                <c:v>0</c:v>
              </c:pt>
              <c:pt idx="1">
                <c:v>100</c:v>
              </c:pt>
            </c:numLit>
          </c:yVal>
          <c:smooth val="0"/>
          <c:extLst>
            <c:ext xmlns:c16="http://schemas.microsoft.com/office/drawing/2014/chart" uri="{C3380CC4-5D6E-409C-BE32-E72D297353CC}">
              <c16:uniqueId val="{00000004-555F-4980-AB33-B0F349ED1EEB}"/>
            </c:ext>
          </c:extLst>
        </c:ser>
        <c:ser>
          <c:idx val="3"/>
          <c:order val="3"/>
          <c:tx>
            <c:v>vapor pressure</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Lit>
              <c:formatCode>General</c:formatCode>
              <c:ptCount val="2"/>
              <c:pt idx="0">
                <c:v>4.4999999999999998E-2</c:v>
              </c:pt>
              <c:pt idx="1">
                <c:v>4.4999999999999998E-2</c:v>
              </c:pt>
            </c:numLit>
          </c:xVal>
          <c:yVal>
            <c:numLit>
              <c:formatCode>General</c:formatCode>
              <c:ptCount val="2"/>
              <c:pt idx="0">
                <c:v>0</c:v>
              </c:pt>
              <c:pt idx="1">
                <c:v>100</c:v>
              </c:pt>
            </c:numLit>
          </c:yVal>
          <c:smooth val="0"/>
          <c:extLst>
            <c:ext xmlns:c16="http://schemas.microsoft.com/office/drawing/2014/chart" uri="{C3380CC4-5D6E-409C-BE32-E72D297353CC}">
              <c16:uniqueId val="{00000005-555F-4980-AB33-B0F349ED1EEB}"/>
            </c:ext>
          </c:extLst>
        </c:ser>
        <c:ser>
          <c:idx val="4"/>
          <c:order val="4"/>
          <c:tx>
            <c:strRef>
              <c:f>Tabelle1!$U$26</c:f>
              <c:strCache>
                <c:ptCount val="1"/>
                <c:pt idx="0">
                  <c:v>run_12</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Tabelle1!$U$36</c:f>
              <c:numCache>
                <c:formatCode>0.0</c:formatCode>
                <c:ptCount val="1"/>
                <c:pt idx="0">
                  <c:v>1</c:v>
                </c:pt>
              </c:numCache>
            </c:numRef>
          </c:xVal>
          <c:yVal>
            <c:numRef>
              <c:f>Tabelle1!$U$38</c:f>
              <c:numCache>
                <c:formatCode>0.0</c:formatCode>
                <c:ptCount val="1"/>
                <c:pt idx="0">
                  <c:v>58.47</c:v>
                </c:pt>
              </c:numCache>
            </c:numRef>
          </c:yVal>
          <c:smooth val="0"/>
          <c:extLst>
            <c:ext xmlns:c16="http://schemas.microsoft.com/office/drawing/2014/chart" uri="{C3380CC4-5D6E-409C-BE32-E72D297353CC}">
              <c16:uniqueId val="{00000006-555F-4980-AB33-B0F349ED1EEB}"/>
            </c:ext>
          </c:extLst>
        </c:ser>
        <c:ser>
          <c:idx val="5"/>
          <c:order val="5"/>
          <c:tx>
            <c:strRef>
              <c:f>Tabelle1!$V$26</c:f>
              <c:strCache>
                <c:ptCount val="1"/>
                <c:pt idx="0">
                  <c:v>run_13</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Tabelle1!$V$36</c:f>
              <c:numCache>
                <c:formatCode>0.0</c:formatCode>
                <c:ptCount val="1"/>
                <c:pt idx="0">
                  <c:v>1</c:v>
                </c:pt>
              </c:numCache>
            </c:numRef>
          </c:xVal>
          <c:yVal>
            <c:numRef>
              <c:f>Tabelle1!$V$38</c:f>
              <c:numCache>
                <c:formatCode>0.0</c:formatCode>
                <c:ptCount val="1"/>
                <c:pt idx="0">
                  <c:v>54.32</c:v>
                </c:pt>
              </c:numCache>
            </c:numRef>
          </c:yVal>
          <c:smooth val="0"/>
          <c:extLst>
            <c:ext xmlns:c16="http://schemas.microsoft.com/office/drawing/2014/chart" uri="{C3380CC4-5D6E-409C-BE32-E72D297353CC}">
              <c16:uniqueId val="{00000007-555F-4980-AB33-B0F349ED1EEB}"/>
            </c:ext>
          </c:extLst>
        </c:ser>
        <c:dLbls>
          <c:showLegendKey val="0"/>
          <c:showVal val="0"/>
          <c:showCatName val="0"/>
          <c:showSerName val="0"/>
          <c:showPercent val="0"/>
          <c:showBubbleSize val="0"/>
        </c:dLbls>
        <c:axId val="639944688"/>
        <c:axId val="2126579023"/>
      </c:scatterChart>
      <c:valAx>
        <c:axId val="639944688"/>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inlet</a:t>
                </a:r>
                <a:r>
                  <a:rPr lang="en-US" baseline="0"/>
                  <a:t> pressure (bar)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9023"/>
        <c:crosses val="autoZero"/>
        <c:crossBetween val="midCat"/>
        <c:majorUnit val="1"/>
      </c:valAx>
      <c:valAx>
        <c:axId val="2126579023"/>
        <c:scaling>
          <c:orientation val="minMax"/>
          <c:max val="8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dp (bar)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44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Elias' CFD - scaled 33kRPM</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Tabelle1!$B$26:$B$30</c:f>
              <c:numCache>
                <c:formatCode>General</c:formatCode>
                <c:ptCount val="5"/>
                <c:pt idx="0">
                  <c:v>0.13750000000000001</c:v>
                </c:pt>
                <c:pt idx="1">
                  <c:v>0.6875</c:v>
                </c:pt>
                <c:pt idx="2">
                  <c:v>1.375</c:v>
                </c:pt>
                <c:pt idx="3">
                  <c:v>2.75</c:v>
                </c:pt>
                <c:pt idx="4">
                  <c:v>4.125</c:v>
                </c:pt>
              </c:numCache>
            </c:numRef>
          </c:xVal>
          <c:yVal>
            <c:numRef>
              <c:f>Tabelle1!$C$26:$C$30</c:f>
              <c:numCache>
                <c:formatCode>General</c:formatCode>
                <c:ptCount val="5"/>
                <c:pt idx="0">
                  <c:v>0.04</c:v>
                </c:pt>
                <c:pt idx="1">
                  <c:v>0.17499999999999999</c:v>
                </c:pt>
                <c:pt idx="2">
                  <c:v>0.29499999999999998</c:v>
                </c:pt>
                <c:pt idx="3">
                  <c:v>0.39</c:v>
                </c:pt>
                <c:pt idx="4">
                  <c:v>0.21</c:v>
                </c:pt>
              </c:numCache>
            </c:numRef>
          </c:yVal>
          <c:smooth val="0"/>
          <c:extLst>
            <c:ext xmlns:c16="http://schemas.microsoft.com/office/drawing/2014/chart" uri="{C3380CC4-5D6E-409C-BE32-E72D297353CC}">
              <c16:uniqueId val="{00000000-1528-4ED1-93AD-855063AD50E2}"/>
            </c:ext>
          </c:extLst>
        </c:ser>
        <c:ser>
          <c:idx val="2"/>
          <c:order val="1"/>
          <c:tx>
            <c:v>Current CFD</c:v>
          </c:tx>
          <c:spPr>
            <a:ln w="19050" cap="rnd">
              <a:solidFill>
                <a:srgbClr val="00B0F0"/>
              </a:solidFill>
              <a:round/>
            </a:ln>
            <a:effectLst/>
          </c:spPr>
          <c:marker>
            <c:symbol val="circle"/>
            <c:size val="5"/>
            <c:spPr>
              <a:solidFill>
                <a:srgbClr val="00B0F0"/>
              </a:solidFill>
              <a:ln w="9525">
                <a:solidFill>
                  <a:srgbClr val="00B0F0"/>
                </a:solidFill>
              </a:ln>
              <a:effectLst/>
            </c:spPr>
          </c:marker>
          <c:xVal>
            <c:numRef>
              <c:f>(Tabelle1!$J$27,Tabelle1!$W$27:$Z$27)</c:f>
              <c:numCache>
                <c:formatCode>0.00</c:formatCode>
                <c:ptCount val="5"/>
                <c:pt idx="0">
                  <c:v>0.98819999999999997</c:v>
                </c:pt>
                <c:pt idx="1">
                  <c:v>1.498</c:v>
                </c:pt>
                <c:pt idx="2">
                  <c:v>1.9970000000000001</c:v>
                </c:pt>
                <c:pt idx="3">
                  <c:v>2.4969999999999999</c:v>
                </c:pt>
                <c:pt idx="4">
                  <c:v>2.9969999999999999</c:v>
                </c:pt>
              </c:numCache>
            </c:numRef>
          </c:xVal>
          <c:yVal>
            <c:numRef>
              <c:f>(Tabelle1!$J$34,Tabelle1!$W$34:$AA$34)</c:f>
              <c:numCache>
                <c:formatCode>0.00E+00</c:formatCode>
                <c:ptCount val="6"/>
                <c:pt idx="0" formatCode="0.00">
                  <c:v>0.18779999999999999</c:v>
                </c:pt>
                <c:pt idx="1">
                  <c:v>0.25040000000000001</c:v>
                </c:pt>
                <c:pt idx="2">
                  <c:v>0.28789999999999999</c:v>
                </c:pt>
                <c:pt idx="3">
                  <c:v>0.30249999999999999</c:v>
                </c:pt>
                <c:pt idx="4">
                  <c:v>0.29430000000000001</c:v>
                </c:pt>
                <c:pt idx="5">
                  <c:v>0.1759</c:v>
                </c:pt>
              </c:numCache>
            </c:numRef>
          </c:yVal>
          <c:smooth val="0"/>
          <c:extLst>
            <c:ext xmlns:c16="http://schemas.microsoft.com/office/drawing/2014/chart" uri="{C3380CC4-5D6E-409C-BE32-E72D297353CC}">
              <c16:uniqueId val="{00000002-1528-4ED1-93AD-855063AD50E2}"/>
            </c:ext>
          </c:extLst>
        </c:ser>
        <c:ser>
          <c:idx val="1"/>
          <c:order val="2"/>
          <c:tx>
            <c:v>trn point run 18</c:v>
          </c:tx>
          <c:spPr>
            <a:ln w="19050" cap="rnd">
              <a:noFill/>
              <a:round/>
            </a:ln>
            <a:effectLst/>
          </c:spPr>
          <c:marker>
            <c:symbol val="circle"/>
            <c:size val="5"/>
            <c:spPr>
              <a:solidFill>
                <a:schemeClr val="tx1"/>
              </a:solidFill>
              <a:ln w="9525">
                <a:noFill/>
              </a:ln>
              <a:effectLst/>
            </c:spPr>
          </c:marker>
          <c:xVal>
            <c:numRef>
              <c:f>Tabelle1!$AA$27</c:f>
              <c:numCache>
                <c:formatCode>0.00</c:formatCode>
                <c:ptCount val="1"/>
                <c:pt idx="0">
                  <c:v>0.99</c:v>
                </c:pt>
              </c:numCache>
            </c:numRef>
          </c:xVal>
          <c:yVal>
            <c:numRef>
              <c:f>Tabelle1!$AA$34</c:f>
              <c:numCache>
                <c:formatCode>0.00E+00</c:formatCode>
                <c:ptCount val="1"/>
                <c:pt idx="0">
                  <c:v>0.1759</c:v>
                </c:pt>
              </c:numCache>
            </c:numRef>
          </c:yVal>
          <c:smooth val="0"/>
          <c:extLst>
            <c:ext xmlns:c16="http://schemas.microsoft.com/office/drawing/2014/chart" uri="{C3380CC4-5D6E-409C-BE32-E72D297353CC}">
              <c16:uniqueId val="{00000003-1528-4ED1-93AD-855063AD50E2}"/>
            </c:ext>
          </c:extLst>
        </c:ser>
        <c:dLbls>
          <c:showLegendKey val="0"/>
          <c:showVal val="0"/>
          <c:showCatName val="0"/>
          <c:showSerName val="0"/>
          <c:showPercent val="0"/>
          <c:showBubbleSize val="0"/>
        </c:dLbls>
        <c:axId val="639944688"/>
        <c:axId val="2126579023"/>
      </c:scatterChart>
      <c:valAx>
        <c:axId val="639944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mass flow rate (kg/s)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9023"/>
        <c:crosses val="autoZero"/>
        <c:crossBetween val="midCat"/>
      </c:valAx>
      <c:valAx>
        <c:axId val="212657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efficiency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44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Elias' CFD - scaled 33 kRPM</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Tabelle1!$B$26:$B$30</c:f>
              <c:numCache>
                <c:formatCode>General</c:formatCode>
                <c:ptCount val="5"/>
                <c:pt idx="0">
                  <c:v>0.13750000000000001</c:v>
                </c:pt>
                <c:pt idx="1">
                  <c:v>0.6875</c:v>
                </c:pt>
                <c:pt idx="2">
                  <c:v>1.375</c:v>
                </c:pt>
                <c:pt idx="3">
                  <c:v>2.75</c:v>
                </c:pt>
                <c:pt idx="4">
                  <c:v>4.125</c:v>
                </c:pt>
              </c:numCache>
            </c:numRef>
          </c:xVal>
          <c:yVal>
            <c:numRef>
              <c:f>Tabelle1!$E$26:$E$30</c:f>
              <c:numCache>
                <c:formatCode>0.0</c:formatCode>
                <c:ptCount val="5"/>
                <c:pt idx="0">
                  <c:v>30.218389231687908</c:v>
                </c:pt>
                <c:pt idx="1">
                  <c:v>36.900733621474068</c:v>
                </c:pt>
                <c:pt idx="2">
                  <c:v>47.709553465399985</c:v>
                </c:pt>
                <c:pt idx="3">
                  <c:v>70.477732524906102</c:v>
                </c:pt>
                <c:pt idx="4">
                  <c:v>92.251834053685158</c:v>
                </c:pt>
              </c:numCache>
            </c:numRef>
          </c:yVal>
          <c:smooth val="0"/>
          <c:extLst>
            <c:ext xmlns:c16="http://schemas.microsoft.com/office/drawing/2014/chart" uri="{C3380CC4-5D6E-409C-BE32-E72D297353CC}">
              <c16:uniqueId val="{00000000-0B65-45E9-9C87-9104761B9459}"/>
            </c:ext>
          </c:extLst>
        </c:ser>
        <c:ser>
          <c:idx val="2"/>
          <c:order val="1"/>
          <c:tx>
            <c:v>Current CFD</c:v>
          </c:tx>
          <c:spPr>
            <a:ln w="19050" cap="rnd">
              <a:solidFill>
                <a:srgbClr val="00B0F0"/>
              </a:solidFill>
              <a:round/>
            </a:ln>
            <a:effectLst/>
          </c:spPr>
          <c:marker>
            <c:symbol val="circle"/>
            <c:size val="5"/>
            <c:spPr>
              <a:solidFill>
                <a:srgbClr val="00B0F0"/>
              </a:solidFill>
              <a:ln w="9525">
                <a:solidFill>
                  <a:srgbClr val="00B0F0"/>
                </a:solidFill>
              </a:ln>
              <a:effectLst/>
            </c:spPr>
          </c:marker>
          <c:xVal>
            <c:numRef>
              <c:f>(Tabelle1!$J$27,Tabelle1!$W$27:$Z$27)</c:f>
              <c:numCache>
                <c:formatCode>0.00</c:formatCode>
                <c:ptCount val="5"/>
                <c:pt idx="0">
                  <c:v>0.98819999999999997</c:v>
                </c:pt>
                <c:pt idx="1">
                  <c:v>1.498</c:v>
                </c:pt>
                <c:pt idx="2">
                  <c:v>1.9970000000000001</c:v>
                </c:pt>
                <c:pt idx="3">
                  <c:v>2.4969999999999999</c:v>
                </c:pt>
                <c:pt idx="4">
                  <c:v>2.9969999999999999</c:v>
                </c:pt>
              </c:numCache>
            </c:numRef>
          </c:xVal>
          <c:yVal>
            <c:numRef>
              <c:f>(Tabelle1!$J$39,Tabelle1!$W$39:$Z$39)</c:f>
              <c:numCache>
                <c:formatCode>0.0</c:formatCode>
                <c:ptCount val="5"/>
                <c:pt idx="0">
                  <c:v>44.17</c:v>
                </c:pt>
                <c:pt idx="1">
                  <c:v>50.91</c:v>
                </c:pt>
                <c:pt idx="2">
                  <c:v>57.6</c:v>
                </c:pt>
                <c:pt idx="3">
                  <c:v>64.28</c:v>
                </c:pt>
                <c:pt idx="4">
                  <c:v>71.13</c:v>
                </c:pt>
              </c:numCache>
            </c:numRef>
          </c:yVal>
          <c:smooth val="0"/>
          <c:extLst>
            <c:ext xmlns:c16="http://schemas.microsoft.com/office/drawing/2014/chart" uri="{C3380CC4-5D6E-409C-BE32-E72D297353CC}">
              <c16:uniqueId val="{00000001-0B65-45E9-9C87-9104761B9459}"/>
            </c:ext>
          </c:extLst>
        </c:ser>
        <c:ser>
          <c:idx val="1"/>
          <c:order val="2"/>
          <c:tx>
            <c:v>trn point run_18</c:v>
          </c:tx>
          <c:spPr>
            <a:ln w="19050" cap="rnd">
              <a:noFill/>
              <a:round/>
            </a:ln>
            <a:effectLst/>
          </c:spPr>
          <c:marker>
            <c:symbol val="circle"/>
            <c:size val="5"/>
            <c:spPr>
              <a:solidFill>
                <a:schemeClr val="tx1"/>
              </a:solidFill>
              <a:ln w="9525">
                <a:noFill/>
              </a:ln>
              <a:effectLst/>
            </c:spPr>
          </c:marker>
          <c:xVal>
            <c:numRef>
              <c:f>Tabelle1!$AA$27</c:f>
              <c:numCache>
                <c:formatCode>0.00</c:formatCode>
                <c:ptCount val="1"/>
                <c:pt idx="0">
                  <c:v>0.99</c:v>
                </c:pt>
              </c:numCache>
            </c:numRef>
          </c:xVal>
          <c:yVal>
            <c:numRef>
              <c:f>Tabelle1!$AA$39</c:f>
              <c:numCache>
                <c:formatCode>0.0</c:formatCode>
                <c:ptCount val="1"/>
                <c:pt idx="0">
                  <c:v>50.71</c:v>
                </c:pt>
              </c:numCache>
            </c:numRef>
          </c:yVal>
          <c:smooth val="0"/>
          <c:extLst>
            <c:ext xmlns:c16="http://schemas.microsoft.com/office/drawing/2014/chart" uri="{C3380CC4-5D6E-409C-BE32-E72D297353CC}">
              <c16:uniqueId val="{00000002-0B65-45E9-9C87-9104761B9459}"/>
            </c:ext>
          </c:extLst>
        </c:ser>
        <c:dLbls>
          <c:showLegendKey val="0"/>
          <c:showVal val="0"/>
          <c:showCatName val="0"/>
          <c:showSerName val="0"/>
          <c:showPercent val="0"/>
          <c:showBubbleSize val="0"/>
        </c:dLbls>
        <c:axId val="639944688"/>
        <c:axId val="2126579023"/>
      </c:scatterChart>
      <c:valAx>
        <c:axId val="639944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mass flow rate (kg/s)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579023"/>
        <c:crosses val="autoZero"/>
        <c:crossBetween val="midCat"/>
      </c:valAx>
      <c:valAx>
        <c:axId val="212657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power (kW)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44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45</xdr:col>
      <xdr:colOff>62033</xdr:colOff>
      <xdr:row>28</xdr:row>
      <xdr:rowOff>145895</xdr:rowOff>
    </xdr:from>
    <xdr:to>
      <xdr:col>55</xdr:col>
      <xdr:colOff>432520</xdr:colOff>
      <xdr:row>48</xdr:row>
      <xdr:rowOff>107301</xdr:rowOff>
    </xdr:to>
    <xdr:pic>
      <xdr:nvPicPr>
        <xdr:cNvPr id="2" name="Picture 1">
          <a:extLst>
            <a:ext uri="{FF2B5EF4-FFF2-40B4-BE49-F238E27FC236}">
              <a16:creationId xmlns:a16="http://schemas.microsoft.com/office/drawing/2014/main" id="{18E9C614-4A5D-4578-8430-8F79C97E3C1B}"/>
            </a:ext>
          </a:extLst>
        </xdr:cNvPr>
        <xdr:cNvPicPr>
          <a:picLocks noChangeAspect="1"/>
        </xdr:cNvPicPr>
      </xdr:nvPicPr>
      <xdr:blipFill>
        <a:blip xmlns:r="http://schemas.openxmlformats.org/officeDocument/2006/relationships" r:embed="rId1"/>
        <a:stretch>
          <a:fillRect/>
        </a:stretch>
      </xdr:blipFill>
      <xdr:spPr>
        <a:xfrm>
          <a:off x="30043269" y="5188950"/>
          <a:ext cx="6466487" cy="3563587"/>
        </a:xfrm>
        <a:prstGeom prst="rect">
          <a:avLst/>
        </a:prstGeom>
      </xdr:spPr>
    </xdr:pic>
    <xdr:clientData/>
  </xdr:twoCellAnchor>
  <xdr:twoCellAnchor editAs="oneCell">
    <xdr:from>
      <xdr:col>44</xdr:col>
      <xdr:colOff>342802</xdr:colOff>
      <xdr:row>49</xdr:row>
      <xdr:rowOff>103082</xdr:rowOff>
    </xdr:from>
    <xdr:to>
      <xdr:col>54</xdr:col>
      <xdr:colOff>592161</xdr:colOff>
      <xdr:row>69</xdr:row>
      <xdr:rowOff>59538</xdr:rowOff>
    </xdr:to>
    <xdr:pic>
      <xdr:nvPicPr>
        <xdr:cNvPr id="3" name="Picture 2">
          <a:extLst>
            <a:ext uri="{FF2B5EF4-FFF2-40B4-BE49-F238E27FC236}">
              <a16:creationId xmlns:a16="http://schemas.microsoft.com/office/drawing/2014/main" id="{AE7C9582-EF5F-5EB1-7C2C-26D776E78877}"/>
            </a:ext>
          </a:extLst>
        </xdr:cNvPr>
        <xdr:cNvPicPr>
          <a:picLocks noChangeAspect="1"/>
        </xdr:cNvPicPr>
      </xdr:nvPicPr>
      <xdr:blipFill>
        <a:blip xmlns:r="http://schemas.openxmlformats.org/officeDocument/2006/relationships" r:embed="rId2"/>
        <a:stretch>
          <a:fillRect/>
        </a:stretch>
      </xdr:blipFill>
      <xdr:spPr>
        <a:xfrm>
          <a:off x="29714438" y="8928427"/>
          <a:ext cx="6345359" cy="3558638"/>
        </a:xfrm>
        <a:prstGeom prst="rect">
          <a:avLst/>
        </a:prstGeom>
      </xdr:spPr>
    </xdr:pic>
    <xdr:clientData/>
  </xdr:twoCellAnchor>
  <xdr:twoCellAnchor editAs="oneCell">
    <xdr:from>
      <xdr:col>45</xdr:col>
      <xdr:colOff>164375</xdr:colOff>
      <xdr:row>7</xdr:row>
      <xdr:rowOff>130790</xdr:rowOff>
    </xdr:from>
    <xdr:to>
      <xdr:col>55</xdr:col>
      <xdr:colOff>413733</xdr:colOff>
      <xdr:row>27</xdr:row>
      <xdr:rowOff>87247</xdr:rowOff>
    </xdr:to>
    <xdr:pic>
      <xdr:nvPicPr>
        <xdr:cNvPr id="4" name="Picture 3">
          <a:extLst>
            <a:ext uri="{FF2B5EF4-FFF2-40B4-BE49-F238E27FC236}">
              <a16:creationId xmlns:a16="http://schemas.microsoft.com/office/drawing/2014/main" id="{0DB5E671-CC99-EBE9-7783-F0AB28AD1866}"/>
            </a:ext>
          </a:extLst>
        </xdr:cNvPr>
        <xdr:cNvPicPr>
          <a:picLocks noChangeAspect="1"/>
        </xdr:cNvPicPr>
      </xdr:nvPicPr>
      <xdr:blipFill>
        <a:blip xmlns:r="http://schemas.openxmlformats.org/officeDocument/2006/relationships" r:embed="rId3"/>
        <a:stretch>
          <a:fillRect/>
        </a:stretch>
      </xdr:blipFill>
      <xdr:spPr>
        <a:xfrm>
          <a:off x="27988261" y="1426190"/>
          <a:ext cx="6345358" cy="3657600"/>
        </a:xfrm>
        <a:prstGeom prst="rect">
          <a:avLst/>
        </a:prstGeom>
      </xdr:spPr>
    </xdr:pic>
    <xdr:clientData/>
  </xdr:twoCellAnchor>
  <xdr:twoCellAnchor>
    <xdr:from>
      <xdr:col>8</xdr:col>
      <xdr:colOff>569899</xdr:colOff>
      <xdr:row>39</xdr:row>
      <xdr:rowOff>77079</xdr:rowOff>
    </xdr:from>
    <xdr:to>
      <xdr:col>15</xdr:col>
      <xdr:colOff>166487</xdr:colOff>
      <xdr:row>54</xdr:row>
      <xdr:rowOff>94664</xdr:rowOff>
    </xdr:to>
    <xdr:graphicFrame macro="">
      <xdr:nvGraphicFramePr>
        <xdr:cNvPr id="5" name="Chart 4">
          <a:extLst>
            <a:ext uri="{FF2B5EF4-FFF2-40B4-BE49-F238E27FC236}">
              <a16:creationId xmlns:a16="http://schemas.microsoft.com/office/drawing/2014/main" id="{8C0EE6DD-526D-0F0A-9E09-AB47BADA2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597756</xdr:colOff>
      <xdr:row>55</xdr:row>
      <xdr:rowOff>137544</xdr:rowOff>
    </xdr:from>
    <xdr:to>
      <xdr:col>15</xdr:col>
      <xdr:colOff>179617</xdr:colOff>
      <xdr:row>70</xdr:row>
      <xdr:rowOff>137544</xdr:rowOff>
    </xdr:to>
    <xdr:graphicFrame macro="">
      <xdr:nvGraphicFramePr>
        <xdr:cNvPr id="7" name="Chart 6">
          <a:extLst>
            <a:ext uri="{FF2B5EF4-FFF2-40B4-BE49-F238E27FC236}">
              <a16:creationId xmlns:a16="http://schemas.microsoft.com/office/drawing/2014/main" id="{673A54EF-7FAB-4963-8FF6-AD69A987A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136189</xdr:colOff>
      <xdr:row>39</xdr:row>
      <xdr:rowOff>77079</xdr:rowOff>
    </xdr:from>
    <xdr:to>
      <xdr:col>22</xdr:col>
      <xdr:colOff>440989</xdr:colOff>
      <xdr:row>54</xdr:row>
      <xdr:rowOff>94664</xdr:rowOff>
    </xdr:to>
    <xdr:graphicFrame macro="">
      <xdr:nvGraphicFramePr>
        <xdr:cNvPr id="8" name="Chart 7">
          <a:extLst>
            <a:ext uri="{FF2B5EF4-FFF2-40B4-BE49-F238E27FC236}">
              <a16:creationId xmlns:a16="http://schemas.microsoft.com/office/drawing/2014/main" id="{BFBF033F-1C70-4EE8-93FA-CF94E3086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434783</xdr:colOff>
      <xdr:row>39</xdr:row>
      <xdr:rowOff>77079</xdr:rowOff>
    </xdr:from>
    <xdr:to>
      <xdr:col>30</xdr:col>
      <xdr:colOff>129983</xdr:colOff>
      <xdr:row>54</xdr:row>
      <xdr:rowOff>94664</xdr:rowOff>
    </xdr:to>
    <xdr:graphicFrame macro="">
      <xdr:nvGraphicFramePr>
        <xdr:cNvPr id="9" name="Chart 8">
          <a:extLst>
            <a:ext uri="{FF2B5EF4-FFF2-40B4-BE49-F238E27FC236}">
              <a16:creationId xmlns:a16="http://schemas.microsoft.com/office/drawing/2014/main" id="{829A2F69-1124-4D57-A87D-D6838F0CA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39"/>
  <sheetViews>
    <sheetView tabSelected="1" zoomScale="70" zoomScaleNormal="70" workbookViewId="0">
      <selection activeCell="C37" sqref="C37"/>
    </sheetView>
  </sheetViews>
  <sheetFormatPr defaultRowHeight="14.4" x14ac:dyDescent="0.3"/>
  <cols>
    <col min="2" max="2" width="15.109375" bestFit="1" customWidth="1"/>
    <col min="3" max="3" width="11.33203125" style="1" bestFit="1" customWidth="1"/>
    <col min="4" max="4" width="22.33203125" bestFit="1" customWidth="1"/>
    <col min="5" max="5" width="11.77734375" customWidth="1"/>
    <col min="6" max="6" width="10.44140625" customWidth="1"/>
    <col min="9" max="9" width="13.6640625" customWidth="1"/>
    <col min="10" max="11" width="11.6640625" customWidth="1"/>
  </cols>
  <sheetData>
    <row r="2" spans="2:10" x14ac:dyDescent="0.3">
      <c r="C2" s="4" t="s">
        <v>2</v>
      </c>
      <c r="I2" t="s">
        <v>1</v>
      </c>
      <c r="J2" t="s">
        <v>54</v>
      </c>
    </row>
    <row r="3" spans="2:10" x14ac:dyDescent="0.3">
      <c r="B3" s="8" t="s">
        <v>3</v>
      </c>
      <c r="C3" s="9">
        <v>60</v>
      </c>
      <c r="D3" s="6" t="s">
        <v>4</v>
      </c>
      <c r="I3" t="s">
        <v>18</v>
      </c>
      <c r="J3" t="s">
        <v>55</v>
      </c>
    </row>
    <row r="4" spans="2:10" x14ac:dyDescent="0.3">
      <c r="B4" s="8" t="s">
        <v>5</v>
      </c>
      <c r="C4" s="9">
        <v>0.9</v>
      </c>
      <c r="D4" s="6" t="s">
        <v>6</v>
      </c>
      <c r="I4" t="s">
        <v>25</v>
      </c>
      <c r="J4" t="s">
        <v>56</v>
      </c>
    </row>
    <row r="5" spans="2:10" x14ac:dyDescent="0.3">
      <c r="B5" s="8" t="s">
        <v>7</v>
      </c>
      <c r="C5" s="9">
        <v>33000</v>
      </c>
      <c r="D5" s="6" t="s">
        <v>8</v>
      </c>
      <c r="I5" t="s">
        <v>26</v>
      </c>
      <c r="J5" t="s">
        <v>57</v>
      </c>
    </row>
    <row r="6" spans="2:10" x14ac:dyDescent="0.3">
      <c r="B6" s="8" t="s">
        <v>9</v>
      </c>
      <c r="C6" s="9">
        <v>785</v>
      </c>
      <c r="D6" s="6" t="s">
        <v>10</v>
      </c>
      <c r="I6" t="s">
        <v>27</v>
      </c>
      <c r="J6" t="s">
        <v>28</v>
      </c>
    </row>
    <row r="7" spans="2:10" x14ac:dyDescent="0.3">
      <c r="B7" s="8" t="s">
        <v>12</v>
      </c>
      <c r="C7" s="10">
        <f>C4/C6</f>
        <v>1.1464968152866243E-3</v>
      </c>
      <c r="D7" s="6" t="s">
        <v>13</v>
      </c>
      <c r="I7" t="s">
        <v>31</v>
      </c>
      <c r="J7" t="s">
        <v>32</v>
      </c>
    </row>
    <row r="8" spans="2:10" x14ac:dyDescent="0.3">
      <c r="B8" s="8" t="s">
        <v>11</v>
      </c>
      <c r="C8" s="11">
        <f>C7*C3*100000</f>
        <v>6878.9808917197461</v>
      </c>
      <c r="D8" s="6" t="s">
        <v>14</v>
      </c>
      <c r="I8" t="s">
        <v>33</v>
      </c>
      <c r="J8" t="s">
        <v>34</v>
      </c>
    </row>
    <row r="9" spans="2:10" x14ac:dyDescent="0.3">
      <c r="B9" s="8" t="s">
        <v>15</v>
      </c>
      <c r="C9" s="11">
        <f>C3*100000/C6/9.81</f>
        <v>779.13477083698558</v>
      </c>
      <c r="D9" s="6" t="s">
        <v>16</v>
      </c>
      <c r="I9" t="s">
        <v>35</v>
      </c>
      <c r="J9" t="s">
        <v>36</v>
      </c>
    </row>
    <row r="10" spans="2:10" x14ac:dyDescent="0.3">
      <c r="B10" s="8" t="s">
        <v>17</v>
      </c>
      <c r="C10" s="12">
        <f>C5*C7^0.5/C9^0.75</f>
        <v>7.57688902734915</v>
      </c>
      <c r="D10" s="6" t="s">
        <v>19</v>
      </c>
      <c r="I10" t="s">
        <v>37</v>
      </c>
      <c r="J10" t="s">
        <v>38</v>
      </c>
    </row>
    <row r="11" spans="2:10" x14ac:dyDescent="0.3">
      <c r="B11" s="8" t="s">
        <v>30</v>
      </c>
      <c r="C11" s="5">
        <f>0.00122*C10^(4/3)*C3</f>
        <v>1.0893455151918909</v>
      </c>
      <c r="D11" s="6" t="s">
        <v>65</v>
      </c>
      <c r="I11" t="s">
        <v>42</v>
      </c>
      <c r="J11" t="s">
        <v>43</v>
      </c>
    </row>
    <row r="12" spans="2:10" x14ac:dyDescent="0.3">
      <c r="B12" s="8" t="s">
        <v>29</v>
      </c>
      <c r="C12" s="2">
        <f>4500/100000</f>
        <v>4.4999999999999998E-2</v>
      </c>
      <c r="D12" s="6" t="s">
        <v>4</v>
      </c>
      <c r="I12" t="s">
        <v>44</v>
      </c>
      <c r="J12" t="s">
        <v>58</v>
      </c>
    </row>
    <row r="13" spans="2:10" x14ac:dyDescent="0.3">
      <c r="B13" s="8" t="s">
        <v>41</v>
      </c>
      <c r="C13" s="5">
        <f>C11+C12</f>
        <v>1.1343455151918909</v>
      </c>
      <c r="D13" s="6" t="s">
        <v>4</v>
      </c>
      <c r="I13" t="s">
        <v>45</v>
      </c>
      <c r="J13" t="s">
        <v>46</v>
      </c>
    </row>
    <row r="14" spans="2:10" x14ac:dyDescent="0.3">
      <c r="B14" s="3"/>
      <c r="I14" t="s">
        <v>47</v>
      </c>
      <c r="J14" t="s">
        <v>59</v>
      </c>
    </row>
    <row r="15" spans="2:10" x14ac:dyDescent="0.3">
      <c r="B15" s="3"/>
      <c r="I15" t="s">
        <v>48</v>
      </c>
      <c r="J15" t="s">
        <v>49</v>
      </c>
    </row>
    <row r="16" spans="2:10" x14ac:dyDescent="0.3">
      <c r="B16" s="13" t="s">
        <v>23</v>
      </c>
      <c r="C16" s="13"/>
      <c r="D16" s="13"/>
      <c r="E16" s="13"/>
      <c r="I16" t="s">
        <v>50</v>
      </c>
      <c r="J16" t="s">
        <v>51</v>
      </c>
    </row>
    <row r="17" spans="2:29" x14ac:dyDescent="0.3">
      <c r="B17" s="6" t="s">
        <v>22</v>
      </c>
      <c r="C17" s="6" t="s">
        <v>0</v>
      </c>
      <c r="D17" s="6" t="s">
        <v>20</v>
      </c>
      <c r="E17" s="6" t="s">
        <v>21</v>
      </c>
      <c r="I17" t="s">
        <v>52</v>
      </c>
      <c r="J17" t="s">
        <v>53</v>
      </c>
    </row>
    <row r="18" spans="2:29" x14ac:dyDescent="0.3">
      <c r="B18" s="6">
        <v>0.1</v>
      </c>
      <c r="C18" s="6">
        <v>0.04</v>
      </c>
      <c r="D18" s="6">
        <v>36.5</v>
      </c>
      <c r="E18" s="6">
        <v>11</v>
      </c>
      <c r="I18" t="s">
        <v>60</v>
      </c>
      <c r="J18" t="s">
        <v>63</v>
      </c>
    </row>
    <row r="19" spans="2:29" x14ac:dyDescent="0.3">
      <c r="B19" s="6">
        <v>0.5</v>
      </c>
      <c r="C19" s="6">
        <v>0.17499999999999999</v>
      </c>
      <c r="D19" s="6">
        <v>39</v>
      </c>
      <c r="E19" s="6">
        <v>14</v>
      </c>
      <c r="I19" t="s">
        <v>61</v>
      </c>
      <c r="J19" t="s">
        <v>64</v>
      </c>
    </row>
    <row r="20" spans="2:29" x14ac:dyDescent="0.3">
      <c r="B20" s="6">
        <v>1</v>
      </c>
      <c r="C20" s="6">
        <v>0.29499999999999998</v>
      </c>
      <c r="D20" s="6">
        <v>42.5</v>
      </c>
      <c r="E20" s="6">
        <v>18.5</v>
      </c>
      <c r="I20" t="s">
        <v>66</v>
      </c>
      <c r="J20" t="s">
        <v>79</v>
      </c>
    </row>
    <row r="21" spans="2:29" x14ac:dyDescent="0.3">
      <c r="B21" s="6">
        <v>2</v>
      </c>
      <c r="C21" s="6">
        <v>0.39</v>
      </c>
      <c r="D21" s="6">
        <v>41.5</v>
      </c>
      <c r="E21" s="6">
        <v>27</v>
      </c>
      <c r="I21" t="s">
        <v>67</v>
      </c>
      <c r="J21" t="s">
        <v>80</v>
      </c>
    </row>
    <row r="22" spans="2:29" x14ac:dyDescent="0.3">
      <c r="B22" s="6">
        <v>3</v>
      </c>
      <c r="C22" s="6">
        <v>0.21</v>
      </c>
      <c r="D22" s="6">
        <v>19.5</v>
      </c>
      <c r="E22" s="6">
        <v>35</v>
      </c>
    </row>
    <row r="23" spans="2:29" x14ac:dyDescent="0.3">
      <c r="B23" s="1"/>
      <c r="C23"/>
      <c r="J23" s="14" t="s">
        <v>76</v>
      </c>
      <c r="K23" t="s">
        <v>77</v>
      </c>
    </row>
    <row r="24" spans="2:29" x14ac:dyDescent="0.3">
      <c r="B24" s="13" t="s">
        <v>24</v>
      </c>
      <c r="C24" s="13"/>
      <c r="D24" s="13"/>
      <c r="E24" s="13"/>
      <c r="J24" s="16" t="s">
        <v>76</v>
      </c>
      <c r="K24" t="s">
        <v>78</v>
      </c>
    </row>
    <row r="25" spans="2:29" x14ac:dyDescent="0.3">
      <c r="B25" s="6" t="s">
        <v>22</v>
      </c>
      <c r="C25" s="6" t="s">
        <v>0</v>
      </c>
      <c r="D25" s="6" t="s">
        <v>20</v>
      </c>
      <c r="E25" s="6" t="s">
        <v>21</v>
      </c>
    </row>
    <row r="26" spans="2:29" x14ac:dyDescent="0.3">
      <c r="B26" s="6">
        <f>B18*33/24</f>
        <v>0.13750000000000001</v>
      </c>
      <c r="C26" s="6">
        <v>0.04</v>
      </c>
      <c r="D26" s="6">
        <f>D18*(33/24)^2</f>
        <v>69.0078125</v>
      </c>
      <c r="E26" s="7">
        <f>B26/785*D26*100000/C26/1000</f>
        <v>30.218389231687908</v>
      </c>
      <c r="I26" s="3"/>
      <c r="J26" s="14" t="s">
        <v>1</v>
      </c>
      <c r="K26" s="15" t="s">
        <v>18</v>
      </c>
      <c r="L26" s="16" t="s">
        <v>25</v>
      </c>
      <c r="M26" s="16" t="s">
        <v>26</v>
      </c>
      <c r="N26" s="16" t="s">
        <v>27</v>
      </c>
      <c r="O26" s="16" t="s">
        <v>31</v>
      </c>
      <c r="P26" s="16" t="s">
        <v>33</v>
      </c>
      <c r="Q26" s="16" t="s">
        <v>35</v>
      </c>
      <c r="R26" s="16" t="s">
        <v>37</v>
      </c>
      <c r="S26" s="16" t="s">
        <v>42</v>
      </c>
      <c r="T26" s="16" t="s">
        <v>44</v>
      </c>
      <c r="U26" s="16" t="s">
        <v>45</v>
      </c>
      <c r="V26" s="16" t="s">
        <v>47</v>
      </c>
      <c r="W26" s="14" t="s">
        <v>48</v>
      </c>
      <c r="X26" s="14" t="s">
        <v>50</v>
      </c>
      <c r="Y26" s="14" t="s">
        <v>52</v>
      </c>
      <c r="Z26" s="14" t="s">
        <v>60</v>
      </c>
      <c r="AA26" s="14" t="s">
        <v>61</v>
      </c>
      <c r="AB26" s="16" t="s">
        <v>66</v>
      </c>
      <c r="AC26" s="16" t="s">
        <v>67</v>
      </c>
    </row>
    <row r="27" spans="2:29" x14ac:dyDescent="0.3">
      <c r="B27" s="6">
        <f t="shared" ref="B27:B30" si="0">B19*33/24</f>
        <v>0.6875</v>
      </c>
      <c r="C27" s="6">
        <v>0.17499999999999999</v>
      </c>
      <c r="D27" s="6">
        <f t="shared" ref="D27:D30" si="1">D19*(33/24)^2</f>
        <v>73.734375</v>
      </c>
      <c r="E27" s="7">
        <f t="shared" ref="E27:E30" si="2">B27/785*D27*100000/C27/1000</f>
        <v>36.900733621474068</v>
      </c>
      <c r="I27" s="8" t="s">
        <v>68</v>
      </c>
      <c r="J27" s="17">
        <v>0.98819999999999997</v>
      </c>
      <c r="K27" s="17">
        <v>0.98409999999999997</v>
      </c>
      <c r="L27" s="17">
        <v>0.90080000000000005</v>
      </c>
      <c r="M27" s="18">
        <v>0.72789999999999999</v>
      </c>
      <c r="N27" s="17">
        <v>0.89949999999999997</v>
      </c>
      <c r="O27" s="17">
        <v>0.90010000000000001</v>
      </c>
      <c r="P27" s="17">
        <v>0.90029999999999999</v>
      </c>
      <c r="Q27" s="17">
        <v>0.90029999999999999</v>
      </c>
      <c r="R27" s="17">
        <v>0.90029999999999999</v>
      </c>
      <c r="S27" s="17">
        <v>0.90029999999999999</v>
      </c>
      <c r="T27" s="17">
        <v>0.9002</v>
      </c>
      <c r="U27" s="17">
        <v>0.95779999999999998</v>
      </c>
      <c r="V27" s="17">
        <v>0.89059999999999995</v>
      </c>
      <c r="W27" s="17">
        <v>1.498</v>
      </c>
      <c r="X27" s="17">
        <v>1.9970000000000001</v>
      </c>
      <c r="Y27" s="17">
        <v>2.4969999999999999</v>
      </c>
      <c r="Z27" s="17">
        <v>2.9969999999999999</v>
      </c>
      <c r="AA27" s="17">
        <v>0.99</v>
      </c>
      <c r="AB27" s="19">
        <v>0.90669999999999995</v>
      </c>
      <c r="AC27" s="19">
        <v>0.90539999999999998</v>
      </c>
    </row>
    <row r="28" spans="2:29" x14ac:dyDescent="0.3">
      <c r="B28" s="6">
        <f t="shared" si="0"/>
        <v>1.375</v>
      </c>
      <c r="C28" s="6">
        <v>0.29499999999999998</v>
      </c>
      <c r="D28" s="6">
        <f t="shared" si="1"/>
        <v>80.3515625</v>
      </c>
      <c r="E28" s="7">
        <f t="shared" si="2"/>
        <v>47.709553465399985</v>
      </c>
      <c r="I28" s="8" t="s">
        <v>69</v>
      </c>
      <c r="J28" s="17">
        <v>-0.99</v>
      </c>
      <c r="K28" s="17">
        <v>-0.99</v>
      </c>
      <c r="L28" s="17">
        <v>-0.9</v>
      </c>
      <c r="M28" s="17">
        <v>-0.9</v>
      </c>
      <c r="N28" s="17">
        <v>-0.9</v>
      </c>
      <c r="O28" s="17">
        <v>-0.9</v>
      </c>
      <c r="P28" s="17">
        <v>-0.9</v>
      </c>
      <c r="Q28" s="17">
        <v>-0.9</v>
      </c>
      <c r="R28" s="17">
        <v>-0.9</v>
      </c>
      <c r="S28" s="17">
        <v>-0.9</v>
      </c>
      <c r="T28" s="17">
        <v>-0.9</v>
      </c>
      <c r="U28" s="17">
        <v>-0.9</v>
      </c>
      <c r="V28" s="17">
        <v>-0.9</v>
      </c>
      <c r="W28" s="17">
        <v>-1.5</v>
      </c>
      <c r="X28" s="17">
        <v>-2</v>
      </c>
      <c r="Y28" s="17">
        <v>-2.5</v>
      </c>
      <c r="Z28" s="17">
        <v>-3</v>
      </c>
      <c r="AA28" s="17">
        <v>-0.99</v>
      </c>
      <c r="AB28" s="19">
        <v>-0.9</v>
      </c>
      <c r="AC28" s="19">
        <v>-0.9</v>
      </c>
    </row>
    <row r="29" spans="2:29" x14ac:dyDescent="0.3">
      <c r="B29" s="6">
        <f t="shared" si="0"/>
        <v>2.75</v>
      </c>
      <c r="C29" s="6">
        <v>0.39</v>
      </c>
      <c r="D29" s="6">
        <f t="shared" si="1"/>
        <v>78.4609375</v>
      </c>
      <c r="E29" s="7">
        <f t="shared" si="2"/>
        <v>70.477732524906102</v>
      </c>
      <c r="I29" s="8" t="s">
        <v>70</v>
      </c>
      <c r="J29" s="20">
        <v>1000000</v>
      </c>
      <c r="K29" s="20">
        <v>1000000</v>
      </c>
      <c r="L29" s="20">
        <v>5000000</v>
      </c>
      <c r="M29" s="20">
        <v>2000000</v>
      </c>
      <c r="N29" s="20">
        <v>600000</v>
      </c>
      <c r="O29" s="20">
        <v>500000</v>
      </c>
      <c r="P29" s="20">
        <v>400000</v>
      </c>
      <c r="Q29" s="20">
        <v>300000</v>
      </c>
      <c r="R29" s="20">
        <v>200000</v>
      </c>
      <c r="S29" s="20">
        <v>150000</v>
      </c>
      <c r="T29" s="20">
        <v>100000</v>
      </c>
      <c r="U29" s="20">
        <v>100000</v>
      </c>
      <c r="V29" s="20">
        <v>100000</v>
      </c>
      <c r="W29" s="20">
        <v>1000000</v>
      </c>
      <c r="X29" s="20">
        <v>1000000</v>
      </c>
      <c r="Y29" s="20">
        <v>1000000</v>
      </c>
      <c r="Z29" s="20">
        <v>1000000</v>
      </c>
      <c r="AA29" s="20">
        <v>1000000</v>
      </c>
      <c r="AB29" s="20">
        <v>500000</v>
      </c>
      <c r="AC29" s="20">
        <v>200000</v>
      </c>
    </row>
    <row r="30" spans="2:29" x14ac:dyDescent="0.3">
      <c r="B30" s="6">
        <f t="shared" si="0"/>
        <v>4.125</v>
      </c>
      <c r="C30" s="6">
        <v>0.21</v>
      </c>
      <c r="D30" s="6">
        <f t="shared" si="1"/>
        <v>36.8671875</v>
      </c>
      <c r="E30" s="7">
        <f t="shared" si="2"/>
        <v>92.251834053685158</v>
      </c>
      <c r="I30" s="8" t="s">
        <v>71</v>
      </c>
      <c r="J30" s="20">
        <v>6577000</v>
      </c>
      <c r="K30" s="20">
        <v>6516000</v>
      </c>
      <c r="L30" s="20">
        <v>6813000</v>
      </c>
      <c r="M30" s="20">
        <v>6679000</v>
      </c>
      <c r="N30" s="20">
        <v>6584000</v>
      </c>
      <c r="O30" s="20">
        <v>6519000</v>
      </c>
      <c r="P30" s="20">
        <v>6487000</v>
      </c>
      <c r="Q30" s="20">
        <v>6460000</v>
      </c>
      <c r="R30" s="20">
        <v>6405000</v>
      </c>
      <c r="S30" s="20">
        <v>6368000</v>
      </c>
      <c r="T30" s="20">
        <v>6312000</v>
      </c>
      <c r="U30" s="20">
        <v>5847000</v>
      </c>
      <c r="V30" s="20">
        <v>5432000</v>
      </c>
      <c r="W30" s="20">
        <v>6672000</v>
      </c>
      <c r="X30" s="20">
        <v>6510000</v>
      </c>
      <c r="Y30" s="20">
        <v>6106000</v>
      </c>
      <c r="Z30" s="20">
        <v>5478000</v>
      </c>
      <c r="AA30" s="20">
        <v>7074000</v>
      </c>
      <c r="AB30" s="20">
        <v>6055000</v>
      </c>
      <c r="AC30" s="20">
        <v>5658000</v>
      </c>
    </row>
    <row r="31" spans="2:29" x14ac:dyDescent="0.3">
      <c r="I31" s="8" t="s">
        <v>72</v>
      </c>
      <c r="J31" s="7">
        <v>12.78</v>
      </c>
      <c r="K31" s="7">
        <v>12.26</v>
      </c>
      <c r="L31" s="7">
        <v>11.79</v>
      </c>
      <c r="M31" s="7">
        <v>11.51</v>
      </c>
      <c r="N31" s="7">
        <v>12.04</v>
      </c>
      <c r="O31" s="7">
        <v>12.2</v>
      </c>
      <c r="P31" s="7">
        <v>12.24</v>
      </c>
      <c r="Q31" s="7">
        <v>12.24</v>
      </c>
      <c r="R31" s="7">
        <v>12.23</v>
      </c>
      <c r="S31" s="7">
        <v>12.23</v>
      </c>
      <c r="T31" s="7">
        <v>12.24</v>
      </c>
      <c r="U31" s="7">
        <v>12.69</v>
      </c>
      <c r="V31" s="7">
        <v>16.2</v>
      </c>
      <c r="W31" s="7">
        <v>14.73</v>
      </c>
      <c r="X31" s="7">
        <v>16.670000000000002</v>
      </c>
      <c r="Y31" s="7">
        <v>18.600000000000001</v>
      </c>
      <c r="Z31" s="7">
        <v>20.58</v>
      </c>
      <c r="AA31" s="7">
        <v>14.67</v>
      </c>
      <c r="AB31" s="7">
        <v>15.24</v>
      </c>
      <c r="AC31" s="7">
        <v>14.45</v>
      </c>
    </row>
    <row r="32" spans="2:29" x14ac:dyDescent="0.3">
      <c r="I32" s="8" t="s">
        <v>73</v>
      </c>
      <c r="J32" s="20">
        <v>8294</v>
      </c>
      <c r="K32" s="20">
        <v>8218</v>
      </c>
      <c r="L32" s="20">
        <v>7811</v>
      </c>
      <c r="M32" s="20">
        <v>7657</v>
      </c>
      <c r="N32" s="20">
        <v>7548</v>
      </c>
      <c r="O32" s="20">
        <v>7474</v>
      </c>
      <c r="P32" s="20">
        <v>7437</v>
      </c>
      <c r="Q32" s="20">
        <v>7406</v>
      </c>
      <c r="R32" s="20">
        <v>7343</v>
      </c>
      <c r="S32" s="20">
        <v>7301</v>
      </c>
      <c r="T32" s="20">
        <v>7237</v>
      </c>
      <c r="U32" s="20">
        <v>6703</v>
      </c>
      <c r="V32" s="20">
        <v>6228</v>
      </c>
      <c r="W32" s="20">
        <v>12750</v>
      </c>
      <c r="X32" s="20">
        <v>16590</v>
      </c>
      <c r="Y32" s="20">
        <v>19450</v>
      </c>
      <c r="Z32" s="20">
        <v>20940</v>
      </c>
      <c r="AA32" s="20">
        <v>8921</v>
      </c>
      <c r="AB32" s="20">
        <v>6942</v>
      </c>
      <c r="AC32" s="20">
        <v>6487</v>
      </c>
    </row>
    <row r="33" spans="9:29" x14ac:dyDescent="0.3">
      <c r="I33" s="8" t="s">
        <v>74</v>
      </c>
      <c r="J33" s="20">
        <v>44170</v>
      </c>
      <c r="K33" s="20">
        <v>42360</v>
      </c>
      <c r="L33" s="20">
        <v>40730</v>
      </c>
      <c r="M33" s="20">
        <v>39770</v>
      </c>
      <c r="N33" s="20">
        <v>41610</v>
      </c>
      <c r="O33" s="20">
        <v>42160</v>
      </c>
      <c r="P33" s="20">
        <v>42290</v>
      </c>
      <c r="Q33" s="20">
        <v>42280</v>
      </c>
      <c r="R33" s="20">
        <v>42280</v>
      </c>
      <c r="S33" s="20">
        <v>42280</v>
      </c>
      <c r="T33" s="20">
        <v>42280</v>
      </c>
      <c r="U33" s="20">
        <v>43860</v>
      </c>
      <c r="V33" s="20">
        <v>55970</v>
      </c>
      <c r="W33" s="20">
        <v>50910</v>
      </c>
      <c r="X33" s="20">
        <v>57600</v>
      </c>
      <c r="Y33" s="20">
        <v>64280</v>
      </c>
      <c r="Z33" s="20">
        <v>71130</v>
      </c>
      <c r="AA33" s="20">
        <v>50710</v>
      </c>
      <c r="AB33" s="20">
        <v>52670</v>
      </c>
      <c r="AC33" s="20">
        <v>49920</v>
      </c>
    </row>
    <row r="34" spans="9:29" x14ac:dyDescent="0.3">
      <c r="I34" s="8" t="s">
        <v>75</v>
      </c>
      <c r="J34" s="17">
        <v>0.18779999999999999</v>
      </c>
      <c r="K34" s="17">
        <v>0.19400000000000001</v>
      </c>
      <c r="L34" s="17">
        <v>0.1918</v>
      </c>
      <c r="M34" s="17">
        <v>0.19259999999999999</v>
      </c>
      <c r="N34" s="17">
        <v>0.18140000000000001</v>
      </c>
      <c r="O34" s="17">
        <v>0.17730000000000001</v>
      </c>
      <c r="P34" s="17">
        <v>0.1759</v>
      </c>
      <c r="Q34" s="17">
        <v>0.17510000000000001</v>
      </c>
      <c r="R34" s="17">
        <v>0.17369999999999999</v>
      </c>
      <c r="S34" s="17">
        <v>0.17269999999999999</v>
      </c>
      <c r="T34" s="17">
        <v>0.1711</v>
      </c>
      <c r="U34" s="19">
        <v>0.15279999999999999</v>
      </c>
      <c r="V34" s="19">
        <v>0.1113</v>
      </c>
      <c r="W34" s="19">
        <v>0.25040000000000001</v>
      </c>
      <c r="X34" s="19">
        <v>0.28789999999999999</v>
      </c>
      <c r="Y34" s="19">
        <v>0.30249999999999999</v>
      </c>
      <c r="Z34" s="19">
        <v>0.29430000000000001</v>
      </c>
      <c r="AA34" s="19">
        <v>0.1759</v>
      </c>
      <c r="AB34" s="19">
        <v>0.1318</v>
      </c>
      <c r="AC34" s="19">
        <v>0.12989999999999999</v>
      </c>
    </row>
    <row r="35" spans="9:29" x14ac:dyDescent="0.3">
      <c r="I35" s="3"/>
      <c r="J35" s="1"/>
      <c r="K35" s="1"/>
      <c r="L35" s="1"/>
      <c r="M35" s="1"/>
      <c r="N35" s="1"/>
      <c r="O35" s="1"/>
      <c r="P35" s="1"/>
      <c r="Q35" s="1"/>
      <c r="R35" s="1"/>
      <c r="S35" s="1"/>
      <c r="T35" s="1"/>
      <c r="U35" s="1"/>
      <c r="V35" s="1"/>
      <c r="W35" s="1"/>
      <c r="X35" s="1"/>
      <c r="Y35" s="1"/>
      <c r="Z35" s="1"/>
      <c r="AA35" s="1"/>
      <c r="AB35" s="1"/>
      <c r="AC35" s="1"/>
    </row>
    <row r="36" spans="9:29" x14ac:dyDescent="0.3">
      <c r="I36" s="8" t="s">
        <v>39</v>
      </c>
      <c r="J36" s="7">
        <f>J29/100000</f>
        <v>10</v>
      </c>
      <c r="K36" s="7">
        <f t="shared" ref="K36:R36" si="3">K29/100000</f>
        <v>10</v>
      </c>
      <c r="L36" s="7">
        <f t="shared" si="3"/>
        <v>50</v>
      </c>
      <c r="M36" s="7">
        <f t="shared" si="3"/>
        <v>20</v>
      </c>
      <c r="N36" s="7">
        <f t="shared" si="3"/>
        <v>6</v>
      </c>
      <c r="O36" s="7">
        <f t="shared" si="3"/>
        <v>5</v>
      </c>
      <c r="P36" s="7">
        <f t="shared" si="3"/>
        <v>4</v>
      </c>
      <c r="Q36" s="7">
        <f t="shared" si="3"/>
        <v>3</v>
      </c>
      <c r="R36" s="7">
        <f t="shared" si="3"/>
        <v>2</v>
      </c>
      <c r="S36" s="7">
        <f t="shared" ref="S36:T36" si="4">S29/100000</f>
        <v>1.5</v>
      </c>
      <c r="T36" s="7">
        <f t="shared" si="4"/>
        <v>1</v>
      </c>
      <c r="U36" s="7">
        <f t="shared" ref="U36:V36" si="5">U29/100000</f>
        <v>1</v>
      </c>
      <c r="V36" s="7">
        <f t="shared" si="5"/>
        <v>1</v>
      </c>
      <c r="W36" s="7">
        <f t="shared" ref="W36:Y36" si="6">W29/100000</f>
        <v>10</v>
      </c>
      <c r="X36" s="7">
        <f t="shared" si="6"/>
        <v>10</v>
      </c>
      <c r="Y36" s="7">
        <f t="shared" si="6"/>
        <v>10</v>
      </c>
      <c r="Z36" s="7">
        <f t="shared" ref="Z36:AA36" si="7">Z29/100000</f>
        <v>10</v>
      </c>
      <c r="AA36" s="7">
        <f t="shared" si="7"/>
        <v>10</v>
      </c>
      <c r="AB36" s="7">
        <f t="shared" ref="AB36:AC36" si="8">AB29/100000</f>
        <v>5</v>
      </c>
      <c r="AC36" s="7">
        <f t="shared" si="8"/>
        <v>2</v>
      </c>
    </row>
    <row r="37" spans="9:29" x14ac:dyDescent="0.3">
      <c r="I37" s="8" t="s">
        <v>40</v>
      </c>
      <c r="J37" s="7">
        <f>J36-$C$12</f>
        <v>9.9550000000000001</v>
      </c>
      <c r="K37" s="7">
        <f t="shared" ref="K37:AC37" si="9">K36-$C$12</f>
        <v>9.9550000000000001</v>
      </c>
      <c r="L37" s="7">
        <f t="shared" si="9"/>
        <v>49.954999999999998</v>
      </c>
      <c r="M37" s="7">
        <f t="shared" si="9"/>
        <v>19.954999999999998</v>
      </c>
      <c r="N37" s="7">
        <f t="shared" si="9"/>
        <v>5.9550000000000001</v>
      </c>
      <c r="O37" s="7">
        <f t="shared" si="9"/>
        <v>4.9550000000000001</v>
      </c>
      <c r="P37" s="7">
        <f t="shared" si="9"/>
        <v>3.9550000000000001</v>
      </c>
      <c r="Q37" s="7">
        <f t="shared" si="9"/>
        <v>2.9550000000000001</v>
      </c>
      <c r="R37" s="7">
        <f t="shared" si="9"/>
        <v>1.9550000000000001</v>
      </c>
      <c r="S37" s="7">
        <f t="shared" si="9"/>
        <v>1.4550000000000001</v>
      </c>
      <c r="T37" s="7">
        <f t="shared" si="9"/>
        <v>0.95499999999999996</v>
      </c>
      <c r="U37" s="7">
        <f t="shared" si="9"/>
        <v>0.95499999999999996</v>
      </c>
      <c r="V37" s="7">
        <f t="shared" si="9"/>
        <v>0.95499999999999996</v>
      </c>
      <c r="W37" s="7">
        <f t="shared" si="9"/>
        <v>9.9550000000000001</v>
      </c>
      <c r="X37" s="7">
        <f t="shared" si="9"/>
        <v>9.9550000000000001</v>
      </c>
      <c r="Y37" s="7">
        <f t="shared" si="9"/>
        <v>9.9550000000000001</v>
      </c>
      <c r="Z37" s="7">
        <f t="shared" si="9"/>
        <v>9.9550000000000001</v>
      </c>
      <c r="AA37" s="7">
        <f t="shared" si="9"/>
        <v>9.9550000000000001</v>
      </c>
      <c r="AB37" s="7">
        <f t="shared" si="9"/>
        <v>4.9550000000000001</v>
      </c>
      <c r="AC37" s="7">
        <f t="shared" si="9"/>
        <v>1.9550000000000001</v>
      </c>
    </row>
    <row r="38" spans="9:29" x14ac:dyDescent="0.3">
      <c r="I38" s="8" t="s">
        <v>20</v>
      </c>
      <c r="J38" s="7">
        <f t="shared" ref="J38:AC38" si="10">J30/100000</f>
        <v>65.77</v>
      </c>
      <c r="K38" s="7">
        <f t="shared" si="10"/>
        <v>65.16</v>
      </c>
      <c r="L38" s="7">
        <f t="shared" si="10"/>
        <v>68.13</v>
      </c>
      <c r="M38" s="7">
        <f t="shared" si="10"/>
        <v>66.790000000000006</v>
      </c>
      <c r="N38" s="7">
        <f t="shared" si="10"/>
        <v>65.84</v>
      </c>
      <c r="O38" s="7">
        <f t="shared" si="10"/>
        <v>65.19</v>
      </c>
      <c r="P38" s="7">
        <f t="shared" si="10"/>
        <v>64.87</v>
      </c>
      <c r="Q38" s="7">
        <f t="shared" si="10"/>
        <v>64.599999999999994</v>
      </c>
      <c r="R38" s="7">
        <f t="shared" si="10"/>
        <v>64.05</v>
      </c>
      <c r="S38" s="7">
        <f t="shared" si="10"/>
        <v>63.68</v>
      </c>
      <c r="T38" s="7">
        <f t="shared" si="10"/>
        <v>63.12</v>
      </c>
      <c r="U38" s="7">
        <f t="shared" si="10"/>
        <v>58.47</v>
      </c>
      <c r="V38" s="7">
        <f t="shared" si="10"/>
        <v>54.32</v>
      </c>
      <c r="W38" s="7">
        <f t="shared" si="10"/>
        <v>66.72</v>
      </c>
      <c r="X38" s="7">
        <f t="shared" si="10"/>
        <v>65.099999999999994</v>
      </c>
      <c r="Y38" s="7">
        <f t="shared" si="10"/>
        <v>61.06</v>
      </c>
      <c r="Z38" s="7">
        <f t="shared" si="10"/>
        <v>54.78</v>
      </c>
      <c r="AA38" s="7">
        <f t="shared" si="10"/>
        <v>70.739999999999995</v>
      </c>
      <c r="AB38" s="7">
        <f t="shared" si="10"/>
        <v>60.55</v>
      </c>
      <c r="AC38" s="7">
        <f t="shared" si="10"/>
        <v>56.58</v>
      </c>
    </row>
    <row r="39" spans="9:29" x14ac:dyDescent="0.3">
      <c r="I39" s="8" t="s">
        <v>62</v>
      </c>
      <c r="J39" s="7">
        <f>J33/1000</f>
        <v>44.17</v>
      </c>
      <c r="K39" s="7">
        <f t="shared" ref="K39:Z39" si="11">K33/1000</f>
        <v>42.36</v>
      </c>
      <c r="L39" s="7">
        <f t="shared" si="11"/>
        <v>40.729999999999997</v>
      </c>
      <c r="M39" s="7">
        <f t="shared" si="11"/>
        <v>39.770000000000003</v>
      </c>
      <c r="N39" s="7">
        <f t="shared" si="11"/>
        <v>41.61</v>
      </c>
      <c r="O39" s="7">
        <f t="shared" si="11"/>
        <v>42.16</v>
      </c>
      <c r="P39" s="7">
        <f t="shared" si="11"/>
        <v>42.29</v>
      </c>
      <c r="Q39" s="7">
        <f t="shared" si="11"/>
        <v>42.28</v>
      </c>
      <c r="R39" s="7">
        <f t="shared" si="11"/>
        <v>42.28</v>
      </c>
      <c r="S39" s="7">
        <f t="shared" si="11"/>
        <v>42.28</v>
      </c>
      <c r="T39" s="7">
        <f t="shared" si="11"/>
        <v>42.28</v>
      </c>
      <c r="U39" s="7">
        <f t="shared" si="11"/>
        <v>43.86</v>
      </c>
      <c r="V39" s="7">
        <f t="shared" si="11"/>
        <v>55.97</v>
      </c>
      <c r="W39" s="7">
        <f t="shared" si="11"/>
        <v>50.91</v>
      </c>
      <c r="X39" s="7">
        <f t="shared" si="11"/>
        <v>57.6</v>
      </c>
      <c r="Y39" s="7">
        <f t="shared" si="11"/>
        <v>64.28</v>
      </c>
      <c r="Z39" s="7">
        <f t="shared" si="11"/>
        <v>71.13</v>
      </c>
      <c r="AA39" s="7">
        <f t="shared" ref="AA39:AB39" si="12">AA33/1000</f>
        <v>50.71</v>
      </c>
      <c r="AB39" s="7">
        <f t="shared" si="12"/>
        <v>52.67</v>
      </c>
      <c r="AC39" s="7">
        <f t="shared" ref="AC39" si="13">AC33/1000</f>
        <v>49.92</v>
      </c>
    </row>
  </sheetData>
  <mergeCells count="2">
    <mergeCell ref="B16:E16"/>
    <mergeCell ref="B24:E24"/>
  </mergeCells>
  <phoneticPr fontId="5" type="noConversion"/>
  <pageMargins left="0.7" right="0.7" top="0.75" bottom="0.75" header="0.3" footer="0.3"/>
  <headerFooter>
    <oddHeader>&amp;C&amp;"Aptos"&amp;10&amp;K0000FF TEC - INTERNAL&amp;1#_x000D_</oddHeader>
    <oddFooter>&amp;C_x000D_&amp;1#&amp;"Aptos"&amp;10&amp;K0000FF TEC - INTERNAL</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 Chabannes</dc:creator>
  <cp:lastModifiedBy>Lilian Chabannes</cp:lastModifiedBy>
  <dcterms:created xsi:type="dcterms:W3CDTF">2015-06-05T18:19:34Z</dcterms:created>
  <dcterms:modified xsi:type="dcterms:W3CDTF">2026-09-28T15:35:08Z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1420bb-738d-4386-a42f-ad19d7043110_Enabled">
    <vt:lpwstr>true</vt:lpwstr>
  </property>
  <property fmtid="{D5CDD505-2E9C-101B-9397-08002B2CF9AE}" pid="3" name="MSIP_Label_8d1420bb-738d-4386-a42f-ad19d7043110_SetDate">
    <vt:lpwstr>2026-09-26T11:45:18Z</vt:lpwstr>
  </property>
  <property fmtid="{D5CDD505-2E9C-101B-9397-08002B2CF9AE}" pid="4" name="MSIP_Label_8d1420bb-738d-4386-a42f-ad19d7043110_Method">
    <vt:lpwstr>Standard</vt:lpwstr>
  </property>
  <property fmtid="{D5CDD505-2E9C-101B-9397-08002B2CF9AE}" pid="5" name="MSIP_Label_8d1420bb-738d-4386-a42f-ad19d7043110_Name">
    <vt:lpwstr>Internal</vt:lpwstr>
  </property>
  <property fmtid="{D5CDD505-2E9C-101B-9397-08002B2CF9AE}" pid="6" name="MSIP_Label_8d1420bb-738d-4386-a42f-ad19d7043110_SiteId">
    <vt:lpwstr>c6140e09-47b8-4c97-a12c-cffb12a150ba</vt:lpwstr>
  </property>
  <property fmtid="{D5CDD505-2E9C-101B-9397-08002B2CF9AE}" pid="7" name="MSIP_Label_8d1420bb-738d-4386-a42f-ad19d7043110_ActionId">
    <vt:lpwstr>6cfdf4c5-3a5f-4c43-b1ea-26862aec9a64</vt:lpwstr>
  </property>
  <property fmtid="{D5CDD505-2E9C-101B-9397-08002B2CF9AE}" pid="8" name="MSIP_Label_8d1420bb-738d-4386-a42f-ad19d7043110_ContentBits">
    <vt:lpwstr>3</vt:lpwstr>
  </property>
  <property fmtid="{D5CDD505-2E9C-101B-9397-08002B2CF9AE}" pid="9" name="MSIP_Label_8d1420bb-738d-4386-a42f-ad19d7043110_Tag">
    <vt:lpwstr>10, 3, 0, 1</vt:lpwstr>
  </property>
</Properties>
</file>